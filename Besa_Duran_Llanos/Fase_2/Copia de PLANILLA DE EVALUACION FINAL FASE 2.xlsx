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anka\Downloads\"/>
    </mc:Choice>
  </mc:AlternateContent>
  <xr:revisionPtr revIDLastSave="0" documentId="13_ncr:1_{1BD59A24-EE1C-4B49-A27E-753C47C29D31}" xr6:coauthVersionLast="47" xr6:coauthVersionMax="47" xr10:uidLastSave="{00000000-0000-0000-0000-000000000000}"/>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G53" i="1"/>
  <c r="E53" i="1"/>
  <c r="J52" i="1"/>
  <c r="K52" i="1" s="1"/>
  <c r="H52" i="1"/>
  <c r="I52" i="1" s="1"/>
  <c r="G52" i="1"/>
  <c r="E52" i="1"/>
  <c r="J51" i="1"/>
  <c r="K51" i="1" s="1"/>
  <c r="H51" i="1"/>
  <c r="I51" i="1" s="1"/>
  <c r="G51" i="1"/>
  <c r="E51" i="1"/>
  <c r="J42" i="1"/>
  <c r="K42" i="1" s="1"/>
  <c r="H42" i="1"/>
  <c r="I42" i="1" s="1"/>
  <c r="G42" i="1"/>
  <c r="E42" i="1"/>
  <c r="J41" i="1"/>
  <c r="K41" i="1" s="1"/>
  <c r="H41" i="1"/>
  <c r="I41" i="1" s="1"/>
  <c r="G41" i="1"/>
  <c r="E41" i="1"/>
  <c r="J40" i="1"/>
  <c r="K40" i="1" s="1"/>
  <c r="H40" i="1"/>
  <c r="I40" i="1" s="1"/>
  <c r="G40" i="1"/>
  <c r="E40" i="1"/>
  <c r="B28" i="1"/>
  <c r="E28" i="1"/>
  <c r="G28" i="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G30" i="1"/>
  <c r="E30" i="1"/>
  <c r="C43" i="1" l="1"/>
  <c r="C44" i="1" s="1"/>
  <c r="C54" i="1"/>
  <c r="C55" i="1" s="1"/>
  <c r="E31" i="1"/>
  <c r="G31" i="1"/>
  <c r="I31" i="1"/>
  <c r="K31" i="1"/>
  <c r="E13" i="1"/>
  <c r="E14" i="1"/>
  <c r="E15" i="1"/>
  <c r="E16" i="1"/>
  <c r="E17" i="1"/>
  <c r="E18" i="1"/>
  <c r="F19" i="1"/>
  <c r="G19" i="1" s="1"/>
  <c r="E19" i="1" l="1"/>
  <c r="H19" i="1"/>
  <c r="I19" i="1" s="1"/>
  <c r="J19" i="1"/>
  <c r="K19" i="1" s="1"/>
  <c r="G16" i="1"/>
  <c r="H16" i="1"/>
  <c r="I16" i="1" s="1"/>
  <c r="J16" i="1"/>
  <c r="K16" i="1" s="1"/>
  <c r="C24" i="1"/>
  <c r="J18" i="1"/>
  <c r="K18" i="1" s="1"/>
  <c r="H18" i="1"/>
  <c r="I18" i="1" s="1"/>
  <c r="F18" i="1"/>
  <c r="G18" i="1" s="1"/>
  <c r="J17" i="1"/>
  <c r="K17" i="1" s="1"/>
  <c r="H17" i="1"/>
  <c r="I17" i="1" s="1"/>
  <c r="G17" i="1"/>
  <c r="J15" i="1"/>
  <c r="K15" i="1" s="1"/>
  <c r="H15" i="1"/>
  <c r="I15" i="1" s="1"/>
  <c r="G15" i="1"/>
  <c r="J14" i="1"/>
  <c r="I14" i="1"/>
  <c r="F14" i="1"/>
  <c r="G14" i="1" s="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<sst xmlns="http://schemas.openxmlformats.org/spreadsheetml/2006/main" count="154" uniqueCount="80">
  <si>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</si>
  <si>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</si>
  <si>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</si>
  <si>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</si>
  <si>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</si>
  <si>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</si>
  <si>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</si>
  <si>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</si>
  <si>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</si>
  <si>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</si>
  <si>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</si>
  <si>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</si>
  <si>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</si>
  <si>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</si>
  <si>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</si>
  <si>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</si>
  <si>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</si>
  <si>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</si>
  <si>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</si>
  <si>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</si>
  <si>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</si>
  <si>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</si>
  <si>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</si>
  <si>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</si>
  <si>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</si>
  <si>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</si>
  <si>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</si>
  <si>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</si>
  <si>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</si>
  <si>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</si>
  <si>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</si>
  <si>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</si>
  <si>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</si>
  <si>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</si>
  <si>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</si>
  <si>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</si>
  <si>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</si>
  <si>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</si>
  <si>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</si>
  <si>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</si>
  <si>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</si>
  <si>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</si>
  <si>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</si>
  <si>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</si>
  <si>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</si>
  <si>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</si>
  <si>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</si>
  <si>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</si>
  <si>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</si>
  <si>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</si>
  <si>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</si>
  <si>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</si>
  <si>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</si>
  <si>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</si>
  <si>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</si>
  <si>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</si>
  <si>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</si>
  <si>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</si>
  <si>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</si>
  <si>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</si>
  <si>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</si>
  <si>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</si>
  <si>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</si>
  <si>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</si>
  <si>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</si>
  <si>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</si>
  <si>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</si>
  <si>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</si>
  <si>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</si>
  <si>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</si>
  <si>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</si>
  <si>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</si>
  <si>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</si>
  <si>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</si>
  <si>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</si>
  <si>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</si>
  <si>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</si>
  <si>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Duran</t>
  </si>
  <si>
    <t>Besa</t>
  </si>
  <si>
    <t>Llanos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</si>
</sst>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0" fillId="0" borderId="0" xfId="0" applyFill="1" applyBorder="1" applyAlignment="1">
      <alignment horizontal="right" vertical="center"/>
    </xf>
    <xf numFmtId="0" fontId="14" fillId="0" borderId="16" xfId="0" applyFont="1" applyBorder="1" applyAlignment="1">
      <alignment horizontal="left"/>
    </xf>
    <xf numFmtId="164" fontId="0" fillId="2" borderId="2" xfId="0" applyNumberFormat="1" applyFill="1" applyBorder="1" applyAlignment="1">
      <alignment horizontal="center"/>
    </xf>
    <xf numFmtId="164" fontId="0" fillId="3" borderId="2" xfId="0" applyNumberFormat="1" applyFill="1" applyBorder="1" applyAlignment="1">
      <alignment horizontal="center"/>
    </xf>
    <xf numFmtId="0" fontId="14" fillId="0" borderId="24" xfId="0" applyFont="1" applyFill="1" applyBorder="1" applyAlignment="1">
      <alignment horizontal="left"/>
    </xf>
    <xf numFmtId="0" fontId="0" fillId="0" borderId="24" xfId="0"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L61" sqref="L61"/>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77</v>
      </c>
      <c r="C4" s="5">
        <f>EVALUACION1!$C$21</f>
        <v>7</v>
      </c>
      <c r="D4" s="5">
        <f>$C$32</f>
        <v>7</v>
      </c>
      <c r="E4" s="6">
        <f>C4*C$2+D4*D$2</f>
        <v>7</v>
      </c>
      <c r="G4" s="1"/>
    </row>
    <row r="5" spans="1:11" x14ac:dyDescent="0.25">
      <c r="A5" s="4">
        <v>2</v>
      </c>
      <c r="B5" s="27" t="s">
        <v>78</v>
      </c>
      <c r="C5" s="5">
        <f>EVALUACION1!$C$21</f>
        <v>7</v>
      </c>
      <c r="D5" s="5">
        <f>C44</f>
        <v>7</v>
      </c>
      <c r="E5" s="6">
        <f t="shared" ref="E5:E6" si="0">C5*C$2+D5*D$2</f>
        <v>7</v>
      </c>
      <c r="G5" s="1"/>
    </row>
    <row r="6" spans="1:11" x14ac:dyDescent="0.25">
      <c r="A6" s="4">
        <v>3</v>
      </c>
      <c r="B6" s="74" t="s">
        <v>79</v>
      </c>
      <c r="C6" s="75">
        <f>EVALUACION1!$C$21</f>
        <v>7</v>
      </c>
      <c r="D6" s="75">
        <f>C55</f>
        <v>7</v>
      </c>
      <c r="E6" s="76">
        <f t="shared" si="0"/>
        <v>7</v>
      </c>
      <c r="G6" s="1"/>
    </row>
    <row r="7" spans="1:11" ht="15" customHeight="1" x14ac:dyDescent="0.25">
      <c r="A7" s="73">
        <v>4</v>
      </c>
      <c r="B7" s="77"/>
      <c r="C7" s="78"/>
      <c r="D7" s="78"/>
      <c r="E7" s="78"/>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
        <v>76</v>
      </c>
      <c r="E13" s="16">
        <f>IF(D13="X",100*0.1,"")</f>
        <v>10</v>
      </c>
      <c r="F13" s="16"/>
      <c r="G13" s="16" t="str">
        <f>IF(F13="X",60*0.1,"")</f>
        <v/>
      </c>
      <c r="H13" s="16" t="str">
        <f t="shared" ref="H13:H16" si="1">IF($C13=ML,"X","")</f>
        <v/>
      </c>
      <c r="I13" s="16" t="str">
        <f>IF(H13="X",30*0.1,"")</f>
        <v/>
      </c>
      <c r="J13" s="16" t="str">
        <f t="shared" ref="J13:J16" si="2">IF($C13=NL,"X","")</f>
        <v/>
      </c>
      <c r="K13" s="16" t="str">
        <f t="shared" ref="K13:K16" si="3">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76</v>
      </c>
      <c r="E14" s="16">
        <f>IF(D14="X",100*0.2,"")</f>
        <v>20</v>
      </c>
      <c r="F14" s="16" t="str">
        <f t="shared" ref="F14" si="4">IF($C14=L,"X","")</f>
        <v/>
      </c>
      <c r="G14" s="16" t="str">
        <f>IF(F14="X",60*0.2,"")</f>
        <v/>
      </c>
      <c r="H14" s="16"/>
      <c r="I14" s="16" t="str">
        <f>IF(H14="X",30*0.2,"")</f>
        <v/>
      </c>
      <c r="J14" s="16" t="str">
        <f t="shared" si="2"/>
        <v/>
      </c>
      <c r="K14" s="16" t="str">
        <f t="shared" si="3"/>
        <v/>
      </c>
    </row>
    <row r="15" spans="1:11" ht="24" outlineLevel="1" x14ac:dyDescent="0.25">
      <c r="A15" s="70"/>
      <c r="B15" s="30" t="str">
        <f>RUBRICA!A7</f>
        <v>4. Relaciona el Proyecto APT con las competencias del perfil de egreso de su Plan de Estudio.</v>
      </c>
      <c r="C15" s="28" t="s">
        <v>63</v>
      </c>
      <c r="D15" s="16" t="s">
        <v>76</v>
      </c>
      <c r="E15" s="16">
        <f>IF(D15="X",100*0.05,"")</f>
        <v>5</v>
      </c>
      <c r="F15" s="16"/>
      <c r="G15" s="16" t="str">
        <f>IF(F15="X",60*0.05,"")</f>
        <v/>
      </c>
      <c r="H15" s="16" t="str">
        <f t="shared" si="1"/>
        <v/>
      </c>
      <c r="I15" s="16" t="str">
        <f>IF(H15="X",30*0.05,"")</f>
        <v/>
      </c>
      <c r="J15" s="16" t="str">
        <f t="shared" si="2"/>
        <v/>
      </c>
      <c r="K15" s="16" t="str">
        <f t="shared" si="3"/>
        <v/>
      </c>
    </row>
    <row r="16" spans="1:11" ht="24" outlineLevel="1" x14ac:dyDescent="0.25">
      <c r="A16" s="70"/>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1"/>
        <v/>
      </c>
      <c r="I16" s="16" t="str">
        <f>IF(H16="X",30*0.05,"")</f>
        <v/>
      </c>
      <c r="J16" s="16" t="str">
        <f t="shared" si="2"/>
        <v/>
      </c>
      <c r="K16" s="16" t="str">
        <f t="shared" si="3"/>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
        <v>76</v>
      </c>
      <c r="E17" s="16">
        <f>IF(D17="X",100*0.05,"")</f>
        <v>5</v>
      </c>
      <c r="F17" s="16"/>
      <c r="G17" s="16" t="str">
        <f>IF(F17="X",60*0.05,"")</f>
        <v/>
      </c>
      <c r="H17" s="16" t="str">
        <f>IF($C17=ML,"X","")</f>
        <v/>
      </c>
      <c r="I17" s="16" t="str">
        <f>IF(H17="X",30*0.05,"")</f>
        <v/>
      </c>
      <c r="J17" s="16" t="str">
        <f>IF($C17=NL,"X","")</f>
        <v/>
      </c>
      <c r="K17" s="16" t="str">
        <f t="shared" ref="K17:K19" si="5">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
        <v>76</v>
      </c>
      <c r="E18" s="16">
        <f>IF(D18="X",100*0.15,"")</f>
        <v>15</v>
      </c>
      <c r="F18" s="16" t="str">
        <f>IF($C18=L,"X","")</f>
        <v/>
      </c>
      <c r="G18" s="16" t="str">
        <f>IF(F18="X",60*0.15,"")</f>
        <v/>
      </c>
      <c r="H18" s="16" t="str">
        <f>IF($C18=ML,"X","")</f>
        <v/>
      </c>
      <c r="I18" s="16" t="str">
        <f>IF(H18="X",30*0.15,"")</f>
        <v/>
      </c>
      <c r="J18" s="16" t="str">
        <f>IF($C18=NL,"X","")</f>
        <v/>
      </c>
      <c r="K18" s="16" t="str">
        <f t="shared" si="5"/>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t="str">
        <f>IF($C19=L,"X","")</f>
        <v/>
      </c>
      <c r="G19" s="16" t="str">
        <f>IF(F19="X",60*0.15,"")</f>
        <v/>
      </c>
      <c r="H19" s="16" t="str">
        <f>IF($C19=ML,"X","")</f>
        <v/>
      </c>
      <c r="I19" s="16" t="str">
        <f>IF(H19="X",30*0.15,"")</f>
        <v/>
      </c>
      <c r="J19" s="16" t="str">
        <f>IF($C19=NL,"X","")</f>
        <v/>
      </c>
      <c r="K19" s="16" t="str">
        <f t="shared" si="5"/>
        <v/>
      </c>
    </row>
    <row r="20" spans="1:11" ht="15.75" customHeight="1" outlineLevel="1" x14ac:dyDescent="0.3">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4" t="s">
        <v>59</v>
      </c>
      <c r="B24" s="53" t="s">
        <v>68</v>
      </c>
      <c r="C24" s="56" t="str">
        <f>$B$4</f>
        <v>Duran</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
        <v>76</v>
      </c>
      <c r="E28" s="16">
        <f>IF(D28="X",100*0.05,"")</f>
        <v>5</v>
      </c>
      <c r="F28" s="16"/>
      <c r="G28" s="16" t="str">
        <f>IF(F28="X",60*0.05,"")</f>
        <v/>
      </c>
      <c r="H28" s="16" t="str">
        <f t="shared" ref="H28:H30" si="6">IF($C28=ML,"X","")</f>
        <v/>
      </c>
      <c r="I28" s="16" t="str">
        <f>IF(H28="X",30*0.05,"")</f>
        <v/>
      </c>
      <c r="J28" s="16" t="str">
        <f t="shared" ref="J28:J30" si="7">IF($C28=NL,"X","")</f>
        <v/>
      </c>
      <c r="K28" s="16" t="str">
        <f t="shared" ref="K28:K30" si="8">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
        <v>76</v>
      </c>
      <c r="E29" s="16">
        <f>IF(D29="X",100*0.1,"")</f>
        <v>10</v>
      </c>
      <c r="F29" s="16"/>
      <c r="G29" s="16" t="str">
        <f>IF(F29="X",60*0.1,"")</f>
        <v/>
      </c>
      <c r="H29" s="16" t="str">
        <f t="shared" si="6"/>
        <v/>
      </c>
      <c r="I29" s="16" t="str">
        <f>IF(H29="X",30*0.1,"")</f>
        <v/>
      </c>
      <c r="J29" s="16" t="str">
        <f t="shared" si="7"/>
        <v/>
      </c>
      <c r="K29" s="16" t="str">
        <f t="shared" si="8"/>
        <v/>
      </c>
    </row>
    <row r="30" spans="1:11" ht="25.9" customHeight="1" x14ac:dyDescent="0.25">
      <c r="A30" s="65"/>
      <c r="B30" s="30" t="str">
        <f>RUBRICA!A13</f>
        <v>10. Colaboración y trabajo en equipo *</v>
      </c>
      <c r="C30" s="28" t="s">
        <v>63</v>
      </c>
      <c r="D30" s="16" t="s">
        <v>76</v>
      </c>
      <c r="E30" s="16">
        <f>IF(D30="X",100*0.1,"")</f>
        <v>10</v>
      </c>
      <c r="F30" s="16"/>
      <c r="G30" s="16" t="str">
        <f>IF(F30="X",60*0.1,"")</f>
        <v/>
      </c>
      <c r="H30" s="16" t="str">
        <f t="shared" si="6"/>
        <v/>
      </c>
      <c r="I30" s="16" t="str">
        <f>IF(H30="X",30*0.1,"")</f>
        <v/>
      </c>
      <c r="J30" s="16" t="str">
        <f t="shared" si="7"/>
        <v/>
      </c>
      <c r="K30" s="16" t="str">
        <f t="shared" si="8"/>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Besa</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
        <v>76</v>
      </c>
      <c r="E40" s="16">
        <f>IF(D40="X",100*0.05,"")</f>
        <v>5</v>
      </c>
      <c r="F40" s="16"/>
      <c r="G40" s="16" t="str">
        <f>IF(F40="X",60*0.05,"")</f>
        <v/>
      </c>
      <c r="H40" s="16" t="str">
        <f t="shared" ref="H40:H42" si="9">IF($C40=ML,"X","")</f>
        <v/>
      </c>
      <c r="I40" s="16" t="str">
        <f>IF(H40="X",30*0.05,"")</f>
        <v/>
      </c>
      <c r="J40" s="16" t="str">
        <f t="shared" ref="J40:J42" si="10">IF($C40=NL,"X","")</f>
        <v/>
      </c>
      <c r="K40" s="16" t="str">
        <f t="shared" ref="K40:K42" si="11">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
        <v>76</v>
      </c>
      <c r="E41" s="16">
        <f>IF(D41="X",100*0.1,"")</f>
        <v>10</v>
      </c>
      <c r="F41" s="16"/>
      <c r="G41" s="16" t="str">
        <f>IF(F41="X",60*0.1,"")</f>
        <v/>
      </c>
      <c r="H41" s="16" t="str">
        <f t="shared" si="9"/>
        <v/>
      </c>
      <c r="I41" s="16" t="str">
        <f>IF(H41="X",30*0.1,"")</f>
        <v/>
      </c>
      <c r="J41" s="16" t="str">
        <f t="shared" si="10"/>
        <v/>
      </c>
      <c r="K41" s="16" t="str">
        <f t="shared" si="11"/>
        <v/>
      </c>
    </row>
    <row r="42" spans="1:11" x14ac:dyDescent="0.25">
      <c r="A42" s="65"/>
      <c r="B42" s="30" t="str">
        <f>RUBRICA!A13</f>
        <v>10. Colaboración y trabajo en equipo *</v>
      </c>
      <c r="C42" s="28" t="s">
        <v>63</v>
      </c>
      <c r="D42" s="16" t="s">
        <v>76</v>
      </c>
      <c r="E42" s="16">
        <f>IF(D42="X",100*0.1,"")</f>
        <v>10</v>
      </c>
      <c r="F42" s="16"/>
      <c r="G42" s="16" t="str">
        <f>IF(F42="X",60*0.1,"")</f>
        <v/>
      </c>
      <c r="H42" s="16" t="str">
        <f t="shared" si="9"/>
        <v/>
      </c>
      <c r="I42" s="16" t="str">
        <f>IF(H42="X",30*0.1,"")</f>
        <v/>
      </c>
      <c r="J42" s="16" t="str">
        <f t="shared" si="10"/>
        <v/>
      </c>
      <c r="K42" s="16" t="str">
        <f t="shared" si="11"/>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t="str">
        <f>B6</f>
        <v>Llanos</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
        <v>76</v>
      </c>
      <c r="E51" s="16">
        <f>IF(D51="X",100*0.05,"")</f>
        <v>5</v>
      </c>
      <c r="F51" s="16"/>
      <c r="G51" s="16" t="str">
        <f>IF(F51="X",60*0.05,"")</f>
        <v/>
      </c>
      <c r="H51" s="16" t="str">
        <f t="shared" ref="H51:H53" si="12">IF($C51=ML,"X","")</f>
        <v/>
      </c>
      <c r="I51" s="16" t="str">
        <f>IF(H51="X",30*0.05,"")</f>
        <v/>
      </c>
      <c r="J51" s="16" t="str">
        <f t="shared" ref="J51:J53" si="13">IF($C51=NL,"X","")</f>
        <v/>
      </c>
      <c r="K51" s="16" t="str">
        <f t="shared" ref="K51:K53" si="14">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
        <v>76</v>
      </c>
      <c r="E52" s="16">
        <f>IF(D52="X",100*0.1,"")</f>
        <v>10</v>
      </c>
      <c r="F52" s="16"/>
      <c r="G52" s="16" t="str">
        <f>IF(F52="X",60*0.1,"")</f>
        <v/>
      </c>
      <c r="H52" s="16" t="str">
        <f t="shared" si="12"/>
        <v/>
      </c>
      <c r="I52" s="16" t="str">
        <f>IF(H52="X",30*0.1,"")</f>
        <v/>
      </c>
      <c r="J52" s="16" t="str">
        <f t="shared" si="13"/>
        <v/>
      </c>
      <c r="K52" s="16" t="str">
        <f t="shared" si="14"/>
        <v/>
      </c>
    </row>
    <row r="53" spans="1:11" x14ac:dyDescent="0.25">
      <c r="A53" s="65"/>
      <c r="B53" s="30" t="str">
        <f>RUBRICA!A13</f>
        <v>10. Colaboración y trabajo en equipo *</v>
      </c>
      <c r="C53" s="28" t="s">
        <v>63</v>
      </c>
      <c r="D53" s="16" t="s">
        <v>76</v>
      </c>
      <c r="E53" s="16">
        <f>IF(D53="X",100*0.1,"")</f>
        <v>10</v>
      </c>
      <c r="F53" s="16"/>
      <c r="G53" s="16" t="str">
        <f>IF(F53="X",60*0.1,"")</f>
        <v/>
      </c>
      <c r="H53" s="16" t="str">
        <f t="shared" si="12"/>
        <v/>
      </c>
      <c r="I53" s="16" t="str">
        <f>IF(H53="X",30*0.1,"")</f>
        <v/>
      </c>
      <c r="J53" s="16" t="str">
        <f t="shared" si="13"/>
        <v/>
      </c>
      <c r="K53" s="16" t="str">
        <f t="shared" si="14"/>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3"/>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Contador</cp:lastModifiedBy>
  <cp:revision/>
  <dcterms:created xsi:type="dcterms:W3CDTF">2023-08-07T04:08:01Z</dcterms:created>
  <dcterms:modified xsi:type="dcterms:W3CDTF">2025-12-08T18:58:12Z</dcterms:modified>
  <cp:category/>
  <cp:contentStatus/>
</cp:coreProperties>
</file>